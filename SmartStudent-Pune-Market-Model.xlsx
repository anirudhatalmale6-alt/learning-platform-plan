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arket Funnel" sheetId="3" state="visible" r:id="rId3"/>
    <sheet xmlns:r="http://schemas.openxmlformats.org/officeDocument/2006/relationships" name="Revenue Model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Pune Ceiling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b val="1"/>
      <color rgb="001F3A5F"/>
      <sz val="11"/>
    </font>
    <font>
      <name val="Calibri"/>
      <b val="1"/>
      <color rgb="00FFFFFF"/>
      <sz val="11"/>
    </font>
    <font>
      <b val="1"/>
      <color rgb="001F3A5F"/>
      <sz val="10"/>
    </font>
    <font>
      <name val="Calibri"/>
      <b val="1"/>
      <sz val="11"/>
    </font>
    <font>
      <b val="1"/>
      <color rgb="00B42318"/>
      <sz val="10"/>
    </font>
    <font>
      <name val="Calibri"/>
      <i val="1"/>
      <color rgb="00666666"/>
      <sz val="9"/>
    </font>
    <font>
      <b val="1"/>
      <color rgb="00B54708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4F7"/>
      </patternFill>
    </fill>
    <fill>
      <patternFill patternType="solid">
        <fgColor rgb="00FFF3C4"/>
      </patternFill>
    </fill>
    <fill>
      <patternFill patternType="solid">
        <fgColor rgb="00E3F2E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3" borderId="1" pivotButton="0" quotePrefix="0" xfId="0"/>
    <xf numFmtId="0" fontId="2" fillId="0" borderId="1" pivotButton="0" quotePrefix="0" xfId="0"/>
    <xf numFmtId="3" fontId="6" fillId="4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  <xf numFmtId="164" fontId="6" fillId="4" borderId="1" pivotButton="0" quotePrefix="0" xfId="0"/>
    <xf numFmtId="0" fontId="9" fillId="0" borderId="1" applyAlignment="1" pivotButton="0" quotePrefix="0" xfId="0">
      <alignment horizontal="center"/>
    </xf>
    <xf numFmtId="0" fontId="6" fillId="0" borderId="0" pivotButton="0" quotePrefix="0" xfId="0"/>
    <xf numFmtId="164" fontId="6" fillId="5" borderId="1" pivotButton="0" quotePrefix="0" xfId="0"/>
    <xf numFmtId="3" fontId="2" fillId="3" borderId="1" pivotButton="0" quotePrefix="0" xfId="0"/>
    <xf numFmtId="0" fontId="8" fillId="0" borderId="1" pivotButton="0" quotePrefix="0" xfId="0"/>
    <xf numFmtId="164" fontId="2" fillId="3" borderId="1" pivotButton="0" quotePrefix="0" xfId="0"/>
    <xf numFmtId="0" fontId="6" fillId="0" borderId="1" pivotButton="0" quotePrefix="0" xfId="0"/>
    <xf numFmtId="3" fontId="6" fillId="5" borderId="1" pivotButton="0" quotePrefix="0" xfId="0"/>
    <xf numFmtId="165" fontId="6" fillId="5" borderId="1" pivotButton="0" quotePrefix="0" xfId="0"/>
    <xf numFmtId="166" fontId="6" fillId="5" borderId="1" pivotButton="0" quotePrefix="0" xfId="0"/>
    <xf numFmtId="166" fontId="2" fillId="3" borderId="1" pivotButton="0" quotePrefix="0" xfId="0"/>
    <xf numFmtId="0" fontId="8" fillId="0" borderId="0" pivotButton="0" quotePrefix="0" xfId="0"/>
    <xf numFmtId="0" fontId="0" fillId="0" borderId="1" pivotButton="0" quotePrefix="0" xfId="0"/>
    <xf numFmtId="3" fontId="0" fillId="3" borderId="1" pivotButton="0" quotePrefix="0" xfId="0"/>
    <xf numFmtId="2" fontId="6" fillId="5" borderId="1" pivotButton="0" quotePrefix="0" xfId="0"/>
    <xf numFmtId="0" fontId="2" fillId="0" borderId="0" pivotButton="0" quotePrefix="0" xfId="0"/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30" customHeight="1">
      <c r="A1" s="1" t="inlineStr">
        <is>
          <t>SmartStudent — Pune Market Model</t>
        </is>
      </c>
    </row>
    <row r="3">
      <c r="B3" s="2" t="inlineStr"/>
    </row>
    <row r="4">
      <c r="B4" s="3" t="inlineStr">
        <is>
          <t>WHAT THIS IS</t>
        </is>
      </c>
    </row>
    <row r="5">
      <c r="B5" s="2" t="inlineStr">
        <is>
          <t>A live sizing model for the SmartStudent platform, scoped to Pune city only. Every figure on the Funnel, Revenue and Unit Economics sheets is a formula driven by the Assumptions sheet.</t>
        </is>
      </c>
    </row>
    <row r="6">
      <c r="B6" s="2" t="inlineStr"/>
    </row>
    <row r="7">
      <c r="B7" s="3" t="inlineStr">
        <is>
          <t>HOW TO USE IT</t>
        </is>
      </c>
    </row>
    <row r="8">
      <c r="B8" s="2" t="inlineStr">
        <is>
          <t>1. Open the 'Assumptions' sheet. Every YELLOW cell is an input you can change.</t>
        </is>
      </c>
    </row>
    <row r="9">
      <c r="B9" s="2" t="inlineStr">
        <is>
          <t>2. Change one, and every number on the other sheets updates immediately.</t>
        </is>
      </c>
    </row>
    <row r="10">
      <c r="B10" s="2" t="inlineStr">
        <is>
          <t>3. Nothing else should be edited — grey and green cells are calculated.</t>
        </is>
      </c>
    </row>
    <row r="11">
      <c r="B11" s="2" t="inlineStr"/>
    </row>
    <row r="12">
      <c r="B12" s="3" t="inlineStr">
        <is>
          <t>IMPORTANT — READ BEFORE USING THESE NUMBERS ANYWHERE</t>
        </is>
      </c>
    </row>
    <row r="13">
      <c r="B13" s="2" t="inlineStr">
        <is>
          <t>These are MODELLED ESTIMATES, not researched facts. I have shown the full derivation so you can see exactly which assumption drives which output, and the 'Sources' sheet names the specific place to get each real number.</t>
        </is>
      </c>
    </row>
    <row r="14">
      <c r="B14" s="2" t="inlineStr">
        <is>
          <t>Do not put these figures into an investor deck or a bank proposal until the inputs flagged with a confidence of LOW have been replaced with real data.</t>
        </is>
      </c>
    </row>
    <row r="15">
      <c r="B15" s="2" t="inlineStr"/>
    </row>
    <row r="16">
      <c r="B16" s="3" t="inlineStr">
        <is>
          <t>THE ONE THING WORTH DOING FIRST</t>
        </is>
      </c>
    </row>
    <row r="17">
      <c r="B17" s="2" t="inlineStr">
        <is>
          <t>UDISE+ (udiseplus.gov.in) publishes school-level enrolment for Pune district, filterable by board and grade, for free. About a day of work there replaces the entire top half of this model with hard data. Do that before spending any money on the build.</t>
        </is>
      </c>
    </row>
    <row r="18">
      <c r="B18" s="2" t="inlineStr"/>
    </row>
    <row r="19">
      <c r="B19" s="3" t="inlineStr">
        <is>
          <t>SHEETS</t>
        </is>
      </c>
    </row>
    <row r="20">
      <c r="B20" s="2" t="inlineStr">
        <is>
          <t>Assumptions      — every input, with a confidence rating and a source to check</t>
        </is>
      </c>
    </row>
    <row r="21">
      <c r="B21" s="2" t="inlineStr">
        <is>
          <t>Market Funnel    — TAM to SAM to SOM, derived</t>
        </is>
      </c>
    </row>
    <row r="22">
      <c r="B22" s="2" t="inlineStr">
        <is>
          <t>Revenue Model    — month 12 and month 24 projection, Pune only</t>
        </is>
      </c>
    </row>
    <row r="23">
      <c r="B23" s="2" t="inlineStr">
        <is>
          <t>Unit Economics   — B2B2C vs B2C direct, side by side</t>
        </is>
      </c>
    </row>
    <row r="24">
      <c r="B24" s="2" t="inlineStr">
        <is>
          <t>Pune Ceiling     — what Pune alone maxes out at, and why that matters</t>
        </is>
      </c>
    </row>
    <row r="25">
      <c r="B25" s="2" t="inlineStr">
        <is>
          <t>Sources          — where to get each real number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3" customWidth="1" min="4" max="4"/>
    <col width="62" customWidth="1" min="5" max="5"/>
  </cols>
  <sheetData>
    <row r="1" ht="30" customHeight="1">
      <c r="A1" s="1" t="inlineStr">
        <is>
          <t>Assumptions — edit the yellow cells only</t>
        </is>
      </c>
    </row>
    <row r="3" ht="28" customHeight="1">
      <c r="A3" s="4" t="inlineStr">
        <is>
          <t>#</t>
        </is>
      </c>
      <c r="B3" s="4" t="inlineStr">
        <is>
          <t>Assumption</t>
        </is>
      </c>
      <c r="C3" s="4" t="inlineStr">
        <is>
          <t>Value</t>
        </is>
      </c>
      <c r="D3" s="4" t="inlineStr">
        <is>
          <t>Confidence</t>
        </is>
      </c>
      <c r="E3" s="4" t="inlineStr">
        <is>
          <t>Basis / what to check</t>
        </is>
      </c>
    </row>
    <row r="4">
      <c r="A4" s="5" t="inlineStr">
        <is>
          <t>POPULATION &amp; COHORT</t>
        </is>
      </c>
    </row>
    <row r="5">
      <c r="A5" s="6" t="n">
        <v>1</v>
      </c>
      <c r="B5" s="6" t="inlineStr">
        <is>
          <t>Pune urban agglomeration population, 2026</t>
        </is>
      </c>
      <c r="C5" s="7" t="n">
        <v>7400000</v>
      </c>
      <c r="D5" s="8" t="inlineStr">
        <is>
          <t>LOW</t>
        </is>
      </c>
      <c r="E5" s="9" t="inlineStr">
        <is>
          <t>Census 2011 UA ~5.05M extrapolated at ~2.7%/yr. Verify vs PMRDA projections.</t>
        </is>
      </c>
    </row>
    <row r="6">
      <c r="A6" s="6" t="n">
        <v>2</v>
      </c>
      <c r="B6" s="6" t="inlineStr">
        <is>
          <t>Share of population aged 12-17</t>
        </is>
      </c>
      <c r="C6" s="10" t="n">
        <v>0.095</v>
      </c>
      <c r="D6" s="8" t="inlineStr">
        <is>
          <t>LOW</t>
        </is>
      </c>
      <c r="E6" s="9" t="inlineStr">
        <is>
          <t>Urban metros run below the national ~11% (lower fertility). Verify vs Census age tables.</t>
        </is>
      </c>
    </row>
    <row r="7">
      <c r="A7" s="6" t="n">
        <v>3</v>
      </c>
      <c r="B7" s="6" t="inlineStr">
        <is>
          <t>School enrolment rate, urban, this age band</t>
        </is>
      </c>
      <c r="C7" s="10" t="n">
        <v>0.96</v>
      </c>
      <c r="D7" s="11" t="inlineStr">
        <is>
          <t>MEDIUM</t>
        </is>
      </c>
      <c r="E7" s="9" t="inlineStr">
        <is>
          <t>Urban Maharashtra secondary enrolment. Verify vs UDISE+.</t>
        </is>
      </c>
    </row>
    <row r="8"/>
    <row r="9">
      <c r="A9" s="5" t="inlineStr">
        <is>
          <t>BOARD SPLIT (must sum to 100%)</t>
        </is>
      </c>
    </row>
    <row r="10">
      <c r="A10" s="6" t="n">
        <v>4</v>
      </c>
      <c r="B10" s="6" t="inlineStr">
        <is>
          <t>Maharashtra SSC / HSC</t>
        </is>
      </c>
      <c r="C10" s="10" t="n">
        <v>0.6</v>
      </c>
      <c r="D10" s="8" t="inlineStr">
        <is>
          <t>LOW</t>
        </is>
      </c>
      <c r="E10" s="9" t="inlineStr">
        <is>
          <t>UDISE+ gives the exact Pune district split. REPLACE THIS.</t>
        </is>
      </c>
    </row>
    <row r="11">
      <c r="A11" s="6" t="n">
        <v>5</v>
      </c>
      <c r="B11" s="6" t="inlineStr">
        <is>
          <t>CBSE</t>
        </is>
      </c>
      <c r="C11" s="10" t="n">
        <v>0.24</v>
      </c>
      <c r="D11" s="8" t="inlineStr">
        <is>
          <t>LOW</t>
        </is>
      </c>
      <c r="E11" s="9" t="inlineStr">
        <is>
          <t>CBSE affiliated-school directory, filter by district.</t>
        </is>
      </c>
    </row>
    <row r="12">
      <c r="A12" s="6" t="n">
        <v>6</v>
      </c>
      <c r="B12" s="6" t="inlineStr">
        <is>
          <t>ICSE / ISC</t>
        </is>
      </c>
      <c r="C12" s="10" t="n">
        <v>0.09</v>
      </c>
      <c r="D12" s="8" t="inlineStr">
        <is>
          <t>LOW</t>
        </is>
      </c>
      <c r="E12" s="9" t="inlineStr">
        <is>
          <t>CISCE school locator.</t>
        </is>
      </c>
    </row>
    <row r="13">
      <c r="A13" s="6" t="n">
        <v>7</v>
      </c>
      <c r="B13" s="6" t="inlineStr">
        <is>
          <t>IGCSE / IB</t>
        </is>
      </c>
      <c r="C13" s="10" t="n">
        <v>0.02</v>
      </c>
      <c r="D13" s="8" t="inlineStr">
        <is>
          <t>LOW</t>
        </is>
      </c>
      <c r="E13" s="9" t="inlineStr">
        <is>
          <t>Small; count schools directly, there are few.</t>
        </is>
      </c>
    </row>
    <row r="14">
      <c r="A14" s="6" t="n">
        <v>8</v>
      </c>
      <c r="B14" s="6" t="inlineStr">
        <is>
          <t>Other</t>
        </is>
      </c>
      <c r="C14" s="10" t="n">
        <v>0.05</v>
      </c>
      <c r="D14" s="8" t="inlineStr">
        <is>
          <t>LOW</t>
        </is>
      </c>
      <c r="E14" s="9" t="inlineStr"/>
    </row>
    <row r="15"/>
    <row r="16">
      <c r="A16" s="5" t="inlineStr">
        <is>
          <t>ADDRESSABILITY FILTERS</t>
        </is>
      </c>
    </row>
    <row r="17">
      <c r="A17" s="6" t="n">
        <v>9</v>
      </c>
      <c r="B17" s="6" t="inlineStr">
        <is>
          <t>Has smartphone + home data access</t>
        </is>
      </c>
      <c r="C17" s="10" t="n">
        <v>0.88</v>
      </c>
      <c r="D17" s="11" t="inlineStr">
        <is>
          <t>MEDIUM</t>
        </is>
      </c>
      <c r="E17" s="9" t="inlineStr">
        <is>
          <t>Urban Pune penetration is high. TRAI / IAMAI reports.</t>
        </is>
      </c>
    </row>
    <row r="18">
      <c r="A18" s="6" t="n">
        <v>10</v>
      </c>
      <c r="B18" s="6" t="inlineStr">
        <is>
          <t>Household already pays for supplementary learning</t>
        </is>
      </c>
      <c r="C18" s="10" t="n">
        <v>0.55</v>
      </c>
      <c r="D18" s="8" t="inlineStr">
        <is>
          <t>LOW</t>
        </is>
      </c>
      <c r="E18" s="9" t="inlineStr">
        <is>
          <t>NSSO Household Social Consumption: Education survey.</t>
        </is>
      </c>
    </row>
    <row r="19">
      <c r="A19" s="6" t="n">
        <v>11</v>
      </c>
      <c r="B19" s="6" t="inlineStr">
        <is>
          <t>Of those, will pay for a DIGITAL product</t>
        </is>
      </c>
      <c r="C19" s="10" t="n">
        <v>0.35</v>
      </c>
      <c r="D19" s="8" t="inlineStr">
        <is>
          <t>LOW</t>
        </is>
      </c>
      <c r="E19" s="9" t="inlineStr">
        <is>
          <t>THE MOST IMPORTANT AND LEAST CERTAIN INPUT. Test with a landing page + Rs 15k of ads.</t>
        </is>
      </c>
    </row>
    <row r="20"/>
    <row r="21">
      <c r="A21" s="5" t="inlineStr">
        <is>
          <t>THE WEDGE (SSC, Grades 9-10)</t>
        </is>
      </c>
    </row>
    <row r="22">
      <c r="A22" s="6" t="n">
        <v>12</v>
      </c>
      <c r="B22" s="6" t="inlineStr">
        <is>
          <t>Share of SSC students in Grades 9-10</t>
        </is>
      </c>
      <c r="C22" s="10" t="n">
        <v>0.36</v>
      </c>
      <c r="D22" s="11" t="inlineStr">
        <is>
          <t>MEDIUM</t>
        </is>
      </c>
      <c r="E22" s="9" t="inlineStr">
        <is>
          <t>2 of 6 grades = 33%, weighted up slightly for board-year focus.</t>
        </is>
      </c>
    </row>
    <row r="23">
      <c r="A23" s="6" t="n">
        <v>13</v>
      </c>
      <c r="B23" s="6" t="inlineStr">
        <is>
          <t>Reachable via coaching classes / schools</t>
        </is>
      </c>
      <c r="C23" s="10" t="n">
        <v>0.6</v>
      </c>
      <c r="D23" s="8" t="inlineStr">
        <is>
          <t>LOW</t>
        </is>
      </c>
      <c r="E23" s="9" t="inlineStr">
        <is>
          <t>Count Pune coaching institutes via GST directory + Google Maps.</t>
        </is>
      </c>
    </row>
    <row r="24">
      <c r="A24" s="6" t="n">
        <v>14</v>
      </c>
      <c r="B24" s="6" t="inlineStr">
        <is>
          <t>Share of that reachable pool won by month 24</t>
        </is>
      </c>
      <c r="C24" s="10" t="n">
        <v>0.05</v>
      </c>
      <c r="D24" s="8" t="inlineStr">
        <is>
          <t>LOW</t>
        </is>
      </c>
      <c r="E24" s="9" t="inlineStr">
        <is>
          <t>Judgement. 4-7% is the plausible band.</t>
        </is>
      </c>
    </row>
    <row r="25"/>
    <row r="26">
      <c r="A26" s="5" t="inlineStr">
        <is>
          <t>PRICING</t>
        </is>
      </c>
    </row>
    <row r="27">
      <c r="A27" s="6" t="n">
        <v>15</v>
      </c>
      <c r="B27" s="6" t="inlineStr">
        <is>
          <t>Institute seat price, per student per month (Rs)</t>
        </is>
      </c>
      <c r="C27" s="7" t="n">
        <v>90</v>
      </c>
      <c r="D27" s="11" t="inlineStr">
        <is>
          <t>MEDIUM</t>
        </is>
      </c>
      <c r="E27" s="9" t="inlineStr">
        <is>
          <t>Validate with 15 coaching class visits.</t>
        </is>
      </c>
    </row>
    <row r="28">
      <c r="A28" s="6" t="n">
        <v>16</v>
      </c>
      <c r="B28" s="6" t="inlineStr">
        <is>
          <t>Institute platform fee, per month (Rs)</t>
        </is>
      </c>
      <c r="C28" s="7" t="n">
        <v>6000</v>
      </c>
      <c r="D28" s="11" t="inlineStr">
        <is>
          <t>MEDIUM</t>
        </is>
      </c>
      <c r="E28" s="9" t="inlineStr">
        <is>
          <t>Test engine + batches + analytics + branding.</t>
        </is>
      </c>
    </row>
    <row r="29">
      <c r="A29" s="6" t="n">
        <v>17</v>
      </c>
      <c r="B29" s="6" t="inlineStr">
        <is>
          <t>B2C direct price, per year (Rs)</t>
        </is>
      </c>
      <c r="C29" s="7" t="n">
        <v>1999</v>
      </c>
      <c r="D29" s="11" t="inlineStr">
        <is>
          <t>MEDIUM</t>
        </is>
      </c>
      <c r="E29" s="9" t="inlineStr">
        <is>
          <t>Anchored below Physics Wallah's reference price.</t>
        </is>
      </c>
    </row>
    <row r="30"/>
    <row r="31">
      <c r="A31" s="5" t="inlineStr">
        <is>
          <t>TRACTION — MONTH 12</t>
        </is>
      </c>
    </row>
    <row r="32">
      <c r="A32" s="6" t="n">
        <v>18</v>
      </c>
      <c r="B32" s="6" t="inlineStr">
        <is>
          <t>Institutes signed</t>
        </is>
      </c>
      <c r="C32" s="7" t="n">
        <v>12</v>
      </c>
      <c r="D32" s="8" t="inlineStr">
        <is>
          <t>LOW</t>
        </is>
      </c>
      <c r="E32" s="9" t="inlineStr">
        <is>
          <t>Judgement, assumes founder-led sales.</t>
        </is>
      </c>
    </row>
    <row r="33">
      <c r="A33" s="6" t="n">
        <v>19</v>
      </c>
      <c r="B33" s="6" t="inlineStr">
        <is>
          <t>Avg paying students per institute</t>
        </is>
      </c>
      <c r="C33" s="7" t="n">
        <v>110</v>
      </c>
      <c r="D33" s="11" t="inlineStr">
        <is>
          <t>MEDIUM</t>
        </is>
      </c>
      <c r="E33" s="9" t="inlineStr">
        <is>
          <t>Typical mid-size Pune tutorial batch load.</t>
        </is>
      </c>
    </row>
    <row r="34">
      <c r="A34" s="6" t="n">
        <v>20</v>
      </c>
      <c r="B34" s="6" t="inlineStr">
        <is>
          <t>B2C direct paying students</t>
        </is>
      </c>
      <c r="C34" s="7" t="n">
        <v>400</v>
      </c>
      <c r="D34" s="8" t="inlineStr">
        <is>
          <t>LOW</t>
        </is>
      </c>
      <c r="E34" s="9" t="inlineStr">
        <is>
          <t>Organic + referral only; no paid ads in year 1.</t>
        </is>
      </c>
    </row>
    <row r="35"/>
    <row r="36">
      <c r="A36" s="5" t="inlineStr">
        <is>
          <t>TRACTION — MONTH 24</t>
        </is>
      </c>
    </row>
    <row r="37">
      <c r="A37" s="6" t="n">
        <v>21</v>
      </c>
      <c r="B37" s="6" t="inlineStr">
        <is>
          <t>Institutes signed</t>
        </is>
      </c>
      <c r="C37" s="7" t="n">
        <v>40</v>
      </c>
      <c r="D37" s="8" t="inlineStr">
        <is>
          <t>LOW</t>
        </is>
      </c>
      <c r="E37" s="9" t="inlineStr">
        <is>
          <t>Judgement.</t>
        </is>
      </c>
    </row>
    <row r="38">
      <c r="A38" s="6" t="n">
        <v>22</v>
      </c>
      <c r="B38" s="6" t="inlineStr">
        <is>
          <t>Avg paying students per institute</t>
        </is>
      </c>
      <c r="C38" s="7" t="n">
        <v>130</v>
      </c>
      <c r="D38" s="11" t="inlineStr">
        <is>
          <t>MEDIUM</t>
        </is>
      </c>
      <c r="E38" s="9" t="inlineStr"/>
    </row>
    <row r="39">
      <c r="A39" s="6" t="n">
        <v>23</v>
      </c>
      <c r="B39" s="6" t="inlineStr">
        <is>
          <t>B2C direct paying students</t>
        </is>
      </c>
      <c r="C39" s="7" t="n">
        <v>1800</v>
      </c>
      <c r="D39" s="8" t="inlineStr">
        <is>
          <t>LOW</t>
        </is>
      </c>
      <c r="E39" s="9" t="inlineStr"/>
    </row>
    <row r="40"/>
    <row r="41">
      <c r="A41" s="5" t="inlineStr">
        <is>
          <t>COST SIDE</t>
        </is>
      </c>
    </row>
    <row r="42">
      <c r="A42" s="6" t="n">
        <v>24</v>
      </c>
      <c r="B42" s="6" t="inlineStr">
        <is>
          <t>AI + infra cost per student per month (Rs)</t>
        </is>
      </c>
      <c r="C42" s="7" t="n">
        <v>28</v>
      </c>
      <c r="D42" s="11" t="inlineStr">
        <is>
          <t>MEDIUM</t>
        </is>
      </c>
      <c r="E42" s="9" t="inlineStr">
        <is>
          <t>Assumes the AI Gateway response cache is built. Without it, budget Rs 60-120.</t>
        </is>
      </c>
    </row>
    <row r="43">
      <c r="A43" s="6" t="n">
        <v>25</v>
      </c>
      <c r="B43" s="6" t="inlineStr">
        <is>
          <t>CAC per student — institute channel (Rs)</t>
        </is>
      </c>
      <c r="C43" s="7" t="n">
        <v>180</v>
      </c>
      <c r="D43" s="8" t="inlineStr">
        <is>
          <t>LOW</t>
        </is>
      </c>
      <c r="E43" s="9" t="inlineStr">
        <is>
          <t>One sale brings 100+ students.</t>
        </is>
      </c>
    </row>
    <row r="44">
      <c r="A44" s="6" t="n">
        <v>26</v>
      </c>
      <c r="B44" s="6" t="inlineStr">
        <is>
          <t>CAC per student — B2C direct (Rs)</t>
        </is>
      </c>
      <c r="C44" s="7" t="n">
        <v>1000</v>
      </c>
      <c r="D44" s="8" t="inlineStr">
        <is>
          <t>LOW</t>
        </is>
      </c>
      <c r="E44" s="9" t="inlineStr">
        <is>
          <t>Parent-facing acquisition is expensive.</t>
        </is>
      </c>
    </row>
    <row r="45">
      <c r="A45" s="6" t="n">
        <v>27</v>
      </c>
      <c r="B45" s="6" t="inlineStr">
        <is>
          <t>Annual retention — institute channel</t>
        </is>
      </c>
      <c r="C45" s="10" t="n">
        <v>0.7</v>
      </c>
      <c r="D45" s="8" t="inlineStr">
        <is>
          <t>LOW</t>
        </is>
      </c>
      <c r="E45" s="9" t="inlineStr">
        <is>
          <t>Institutes renew in bulk.</t>
        </is>
      </c>
    </row>
    <row r="46">
      <c r="A46" s="6" t="n">
        <v>28</v>
      </c>
      <c r="B46" s="6" t="inlineStr">
        <is>
          <t>Annual retention — B2C direct</t>
        </is>
      </c>
      <c r="C46" s="10" t="n">
        <v>0.35</v>
      </c>
      <c r="D46" s="8" t="inlineStr">
        <is>
          <t>LOW</t>
        </is>
      </c>
      <c r="E46" s="9" t="inlineStr">
        <is>
          <t>Weak point of the B2C model.</t>
        </is>
      </c>
    </row>
    <row r="47"/>
    <row r="48">
      <c r="B48" s="12" t="inlineStr">
        <is>
          <t>Board split check (must equal 100%)</t>
        </is>
      </c>
      <c r="C48" s="13">
        <f>Assumptions!$C$10+Assumptions!$C$11+Assumptions!$C$12+Assumptions!$C$13+Assumptions!$C$14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9">
    <mergeCell ref="A21:E21"/>
    <mergeCell ref="A4:E4"/>
    <mergeCell ref="A26:E26"/>
    <mergeCell ref="A16:E16"/>
    <mergeCell ref="A41:E41"/>
    <mergeCell ref="A1:E1"/>
    <mergeCell ref="A36:E36"/>
    <mergeCell ref="A31:E3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  <col width="40" customWidth="1" min="4" max="4"/>
  </cols>
  <sheetData>
    <row r="1" ht="30" customHeight="1">
      <c r="A1" s="1" t="inlineStr">
        <is>
          <t>Market funnel — Pune city, Grades 7-12</t>
        </is>
      </c>
    </row>
    <row r="3" ht="28" customHeight="1">
      <c r="A3" s="4" t="inlineStr">
        <is>
          <t>Step</t>
        </is>
      </c>
      <c r="B3" s="4" t="inlineStr">
        <is>
          <t>Value</t>
        </is>
      </c>
      <c r="C3" s="4" t="inlineStr">
        <is>
          <t>Formula in words</t>
        </is>
      </c>
      <c r="D3" s="4" t="inlineStr">
        <is>
          <t>Note</t>
        </is>
      </c>
    </row>
    <row r="4">
      <c r="A4" s="6" t="inlineStr">
        <is>
          <t>Pune urban agglomeration population, 2026</t>
        </is>
      </c>
      <c r="B4" s="14">
        <f>Assumptions!$C$5</f>
        <v/>
      </c>
      <c r="C4" s="15" t="inlineStr">
        <is>
          <t>input</t>
        </is>
      </c>
      <c r="D4" s="9" t="inlineStr"/>
    </row>
    <row r="5">
      <c r="A5" s="6" t="inlineStr">
        <is>
          <t xml:space="preserve">  x share aged 12-17</t>
        </is>
      </c>
      <c r="B5" s="16">
        <f>Assumptions!$C$6</f>
        <v/>
      </c>
      <c r="C5" s="15" t="inlineStr">
        <is>
          <t>input</t>
        </is>
      </c>
      <c r="D5" s="9" t="inlineStr"/>
    </row>
    <row r="6">
      <c r="A6" s="17" t="inlineStr">
        <is>
          <t>→ children in the Grade 7-12 age band</t>
        </is>
      </c>
      <c r="B6" s="18">
        <f>$B$4*$B$5</f>
        <v/>
      </c>
      <c r="C6" s="15" t="inlineStr">
        <is>
          <t>population x age share</t>
        </is>
      </c>
      <c r="D6" s="9" t="inlineStr"/>
    </row>
    <row r="7">
      <c r="A7" s="6" t="inlineStr">
        <is>
          <t xml:space="preserve">  x school enrolment rate</t>
        </is>
      </c>
      <c r="B7" s="16">
        <f>Assumptions!$C$7</f>
        <v/>
      </c>
      <c r="C7" s="15" t="inlineStr">
        <is>
          <t>input</t>
        </is>
      </c>
      <c r="D7" s="9" t="inlineStr"/>
    </row>
    <row r="8">
      <c r="A8" s="17" t="inlineStr">
        <is>
          <t>→ TAM: students in school, Grades 7-12</t>
        </is>
      </c>
      <c r="B8" s="18">
        <f>$B$6*$B$7</f>
        <v/>
      </c>
      <c r="C8" s="15" t="inlineStr">
        <is>
          <t>age band x enrolment</t>
        </is>
      </c>
      <c r="D8" s="9" t="inlineStr">
        <is>
          <t>Total addressable market, Pune</t>
        </is>
      </c>
    </row>
    <row r="10">
      <c r="A10" s="6" t="inlineStr">
        <is>
          <t>SSC / HSC students</t>
        </is>
      </c>
      <c r="B10" s="14">
        <f>$B$8*Assumptions!$C$10</f>
        <v/>
      </c>
      <c r="C10" s="15" t="inlineStr">
        <is>
          <t>TAM x SSC share</t>
        </is>
      </c>
      <c r="D10" s="9" t="inlineStr">
        <is>
          <t>The beachhead</t>
        </is>
      </c>
    </row>
    <row r="11">
      <c r="A11" s="6" t="inlineStr">
        <is>
          <t>CBSE students</t>
        </is>
      </c>
      <c r="B11" s="14">
        <f>$B$8*Assumptions!$C$11</f>
        <v/>
      </c>
      <c r="C11" s="15" t="inlineStr">
        <is>
          <t>TAM x CBSE share</t>
        </is>
      </c>
      <c r="D11" s="9" t="inlineStr">
        <is>
          <t>Phase 3 expansion</t>
        </is>
      </c>
    </row>
    <row r="12">
      <c r="A12" s="6" t="inlineStr">
        <is>
          <t>ICSE / ISC students</t>
        </is>
      </c>
      <c r="B12" s="14">
        <f>$B$8*Assumptions!$C$12</f>
        <v/>
      </c>
      <c r="C12" s="15" t="inlineStr">
        <is>
          <t>TAM x ICSE share</t>
        </is>
      </c>
      <c r="D12" s="9" t="inlineStr">
        <is>
          <t>Later</t>
        </is>
      </c>
    </row>
    <row r="13">
      <c r="A13" s="6" t="inlineStr">
        <is>
          <t>IGCSE / IB students</t>
        </is>
      </c>
      <c r="B13" s="14">
        <f>$B$8*Assumptions!$C$13</f>
        <v/>
      </c>
      <c r="C13" s="15" t="inlineStr">
        <is>
          <t>TAM x IGCSE share</t>
        </is>
      </c>
      <c r="D13" s="9" t="inlineStr">
        <is>
          <t>Last — licensing risk</t>
        </is>
      </c>
    </row>
    <row r="15">
      <c r="A15" s="6" t="inlineStr">
        <is>
          <t xml:space="preserve">  x has smartphone + data</t>
        </is>
      </c>
      <c r="B15" s="16">
        <f>Assumptions!$C$17</f>
        <v/>
      </c>
      <c r="C15" s="15" t="inlineStr">
        <is>
          <t>input</t>
        </is>
      </c>
      <c r="D15" s="9" t="inlineStr"/>
    </row>
    <row r="16">
      <c r="A16" s="17" t="inlineStr">
        <is>
          <t>→ digitally reachable students</t>
        </is>
      </c>
      <c r="B16" s="18">
        <f>$B$8*$B$15</f>
        <v/>
      </c>
      <c r="C16" s="15" t="inlineStr">
        <is>
          <t>TAM x reachability</t>
        </is>
      </c>
      <c r="D16" s="9" t="inlineStr"/>
    </row>
    <row r="17">
      <c r="A17" s="6" t="inlineStr">
        <is>
          <t xml:space="preserve">  x household pays for supplementary learning</t>
        </is>
      </c>
      <c r="B17" s="16">
        <f>Assumptions!$C$18</f>
        <v/>
      </c>
      <c r="C17" s="15" t="inlineStr">
        <is>
          <t>input</t>
        </is>
      </c>
      <c r="D17" s="9" t="inlineStr"/>
    </row>
    <row r="18">
      <c r="A18" s="17" t="inlineStr">
        <is>
          <t>→ students in paying households</t>
        </is>
      </c>
      <c r="B18" s="18">
        <f>$B$16*$B$17</f>
        <v/>
      </c>
      <c r="C18" s="15" t="inlineStr">
        <is>
          <t>reachable x paying households</t>
        </is>
      </c>
      <c r="D18" s="9" t="inlineStr"/>
    </row>
    <row r="19">
      <c r="A19" s="6" t="inlineStr">
        <is>
          <t xml:space="preserve">  x will pay for a DIGITAL product</t>
        </is>
      </c>
      <c r="B19" s="16">
        <f>Assumptions!$C$19</f>
        <v/>
      </c>
      <c r="C19" s="15" t="inlineStr">
        <is>
          <t>input</t>
        </is>
      </c>
      <c r="D19" s="9" t="inlineStr">
        <is>
          <t>Least certain input in the model</t>
        </is>
      </c>
    </row>
    <row r="20">
      <c r="A20" s="17" t="inlineStr">
        <is>
          <t>→ SAM: serviceable addressable market</t>
        </is>
      </c>
      <c r="B20" s="18">
        <f>$B$18*$B$19</f>
        <v/>
      </c>
      <c r="C20" s="15" t="inlineStr">
        <is>
          <t>paying households x digital willingness</t>
        </is>
      </c>
      <c r="D20" s="9" t="inlineStr">
        <is>
          <t>Pune, all boards, Grades 7-12</t>
        </is>
      </c>
    </row>
    <row r="22">
      <c r="A22" s="6" t="inlineStr">
        <is>
          <t>SSC students in Grades 9-10</t>
        </is>
      </c>
      <c r="B22" s="14">
        <f>$B$10*Assumptions!$C$22</f>
        <v/>
      </c>
      <c r="C22" s="15" t="inlineStr">
        <is>
          <t>SSC students x grade 9-10 share</t>
        </is>
      </c>
      <c r="D22" s="9" t="inlineStr">
        <is>
          <t>The wedge cohort</t>
        </is>
      </c>
    </row>
    <row r="23">
      <c r="A23" s="6" t="inlineStr">
        <is>
          <t xml:space="preserve">  x reachable via institutes</t>
        </is>
      </c>
      <c r="B23" s="16">
        <f>Assumptions!$C$23</f>
        <v/>
      </c>
      <c r="C23" s="15" t="inlineStr">
        <is>
          <t>input</t>
        </is>
      </c>
      <c r="D23" s="9" t="inlineStr"/>
    </row>
    <row r="24">
      <c r="A24" s="17" t="inlineStr">
        <is>
          <t>→ institute-reachable wedge pool</t>
        </is>
      </c>
      <c r="B24" s="18">
        <f>$B$22*$B$23</f>
        <v/>
      </c>
      <c r="C24" s="15" t="inlineStr">
        <is>
          <t>wedge x institute reach</t>
        </is>
      </c>
      <c r="D24" s="9" t="inlineStr"/>
    </row>
    <row r="25">
      <c r="A25" s="6" t="inlineStr">
        <is>
          <t xml:space="preserve">  x share won by month 24</t>
        </is>
      </c>
      <c r="B25" s="16">
        <f>Assumptions!$C$24</f>
        <v/>
      </c>
      <c r="C25" s="15" t="inlineStr">
        <is>
          <t>input</t>
        </is>
      </c>
      <c r="D25" s="9" t="inlineStr"/>
    </row>
    <row r="26">
      <c r="A26" s="17" t="inlineStr">
        <is>
          <t>→ SOM: winnable paying students, month 24</t>
        </is>
      </c>
      <c r="B26" s="18">
        <f>$B$24*$B$25</f>
        <v/>
      </c>
      <c r="C26" s="15" t="inlineStr">
        <is>
          <t>pool x capture rate</t>
        </is>
      </c>
      <c r="D26" s="9" t="inlineStr">
        <is>
          <t>Cross-check against the Revenue Model sheet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48" customWidth="1" min="4" max="4"/>
  </cols>
  <sheetData>
    <row r="1" ht="30" customHeight="1">
      <c r="A1" s="1" t="inlineStr">
        <is>
          <t>Revenue projection — Pune only</t>
        </is>
      </c>
    </row>
    <row r="3" ht="28" customHeight="1">
      <c r="A3" s="4" t="inlineStr">
        <is>
          <t>Line</t>
        </is>
      </c>
      <c r="B3" s="4" t="inlineStr">
        <is>
          <t>Month 12</t>
        </is>
      </c>
      <c r="C3" s="4" t="inlineStr">
        <is>
          <t>Month 24</t>
        </is>
      </c>
      <c r="D3" s="4" t="inlineStr">
        <is>
          <t>Note</t>
        </is>
      </c>
    </row>
    <row r="4">
      <c r="A4" s="6" t="inlineStr">
        <is>
          <t>Institutes signed</t>
        </is>
      </c>
      <c r="B4" s="14">
        <f>Assumptions!$C$32</f>
        <v/>
      </c>
      <c r="C4" s="14">
        <f>Assumptions!$C$37</f>
        <v/>
      </c>
      <c r="D4" s="9" t="inlineStr"/>
    </row>
    <row r="5">
      <c r="A5" s="6" t="inlineStr">
        <is>
          <t>Avg paying students per institute</t>
        </is>
      </c>
      <c r="B5" s="14">
        <f>Assumptions!$C$33</f>
        <v/>
      </c>
      <c r="C5" s="14">
        <f>Assumptions!$C$38</f>
        <v/>
      </c>
      <c r="D5" s="9" t="inlineStr"/>
    </row>
    <row r="6">
      <c r="A6" s="6" t="inlineStr">
        <is>
          <t>Students via institutes</t>
        </is>
      </c>
      <c r="B6" s="14">
        <f>B4*B5</f>
        <v/>
      </c>
      <c r="C6" s="14">
        <f>C4*C5</f>
        <v/>
      </c>
      <c r="D6" s="9" t="inlineStr"/>
    </row>
    <row r="7">
      <c r="A7" s="6" t="inlineStr">
        <is>
          <t>B2C direct paying students</t>
        </is>
      </c>
      <c r="B7" s="14">
        <f>Assumptions!$C$34</f>
        <v/>
      </c>
      <c r="C7" s="14">
        <f>Assumptions!$C$39</f>
        <v/>
      </c>
      <c r="D7" s="9" t="inlineStr">
        <is>
          <t>Organic + referral only</t>
        </is>
      </c>
    </row>
    <row r="8">
      <c r="A8" s="17" t="inlineStr">
        <is>
          <t>TOTAL PAYING STUDENTS</t>
        </is>
      </c>
      <c r="B8" s="18">
        <f>B6+B7</f>
        <v/>
      </c>
      <c r="C8" s="18">
        <f>C6+C7</f>
        <v/>
      </c>
      <c r="D8" s="9" t="inlineStr"/>
    </row>
    <row r="10">
      <c r="A10" s="6" t="inlineStr">
        <is>
          <t>Institute seat revenue (Rs/yr)</t>
        </is>
      </c>
      <c r="B10" s="14">
        <f>B6*Assumptions!$C$27*12</f>
        <v/>
      </c>
      <c r="C10" s="14">
        <f>C6*Assumptions!$C$27*12</f>
        <v/>
      </c>
      <c r="D10" s="9" t="inlineStr">
        <is>
          <t>seats x price x 12</t>
        </is>
      </c>
    </row>
    <row r="11">
      <c r="A11" s="6" t="inlineStr">
        <is>
          <t>Institute platform fees (Rs/yr)</t>
        </is>
      </c>
      <c r="B11" s="14">
        <f>B4*Assumptions!$C$28*12</f>
        <v/>
      </c>
      <c r="C11" s="14">
        <f>C4*Assumptions!$C$28*12</f>
        <v/>
      </c>
      <c r="D11" s="9" t="inlineStr">
        <is>
          <t>institutes x fee x 12</t>
        </is>
      </c>
    </row>
    <row r="12">
      <c r="A12" s="6" t="inlineStr">
        <is>
          <t>B2C direct revenue (Rs/yr)</t>
        </is>
      </c>
      <c r="B12" s="14">
        <f>B7*Assumptions!$C$29</f>
        <v/>
      </c>
      <c r="C12" s="14">
        <f>C7*Assumptions!$C$29</f>
        <v/>
      </c>
      <c r="D12" s="9" t="inlineStr"/>
    </row>
    <row r="13">
      <c r="A13" s="17" t="inlineStr">
        <is>
          <t>TOTAL ARR (Rs)</t>
        </is>
      </c>
      <c r="B13" s="18">
        <f>B10+B11+B12</f>
        <v/>
      </c>
      <c r="C13" s="18">
        <f>C10+C11+C12</f>
        <v/>
      </c>
      <c r="D13" s="9" t="inlineStr"/>
    </row>
    <row r="14">
      <c r="A14" s="17" t="inlineStr">
        <is>
          <t>TOTAL ARR (Rs lakh)</t>
        </is>
      </c>
      <c r="B14" s="19">
        <f>B13/100000</f>
        <v/>
      </c>
      <c r="C14" s="19">
        <f>C13/100000</f>
        <v/>
      </c>
      <c r="D14" s="9" t="inlineStr"/>
    </row>
    <row r="16">
      <c r="A16" s="6" t="inlineStr">
        <is>
          <t>AI + infra cost (Rs/yr)</t>
        </is>
      </c>
      <c r="B16" s="14">
        <f>B8*Assumptions!$C$42*12</f>
        <v/>
      </c>
      <c r="C16" s="14">
        <f>C8*Assumptions!$C$42*12</f>
        <v/>
      </c>
      <c r="D16" s="9" t="inlineStr">
        <is>
          <t>Assumes the response cache is built</t>
        </is>
      </c>
    </row>
    <row r="17">
      <c r="A17" s="17" t="inlineStr">
        <is>
          <t>Gross profit before content &amp; salaries (Rs)</t>
        </is>
      </c>
      <c r="B17" s="18">
        <f>B13-B16</f>
        <v/>
      </c>
      <c r="C17" s="18">
        <f>C13-C16</f>
        <v/>
      </c>
      <c r="D17" s="9" t="inlineStr"/>
    </row>
    <row r="18">
      <c r="A18" s="17" t="inlineStr">
        <is>
          <t>Gross margin</t>
        </is>
      </c>
      <c r="B18" s="13">
        <f>B17/B13</f>
        <v/>
      </c>
      <c r="C18" s="13">
        <f>C17/C13</f>
        <v/>
      </c>
      <c r="D18" s="9" t="inlineStr">
        <is>
          <t>Before content, salaries and sales cost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46" customWidth="1" min="4" max="4"/>
  </cols>
  <sheetData>
    <row r="1" ht="30" customHeight="1">
      <c r="A1" s="1" t="inlineStr">
        <is>
          <t>Unit economics — B2B2C vs B2C direct</t>
        </is>
      </c>
    </row>
    <row r="3" ht="28" customHeight="1">
      <c r="A3" s="4" t="inlineStr">
        <is>
          <t>Metric</t>
        </is>
      </c>
      <c r="B3" s="4" t="inlineStr">
        <is>
          <t>B2B2C (institute)</t>
        </is>
      </c>
      <c r="C3" s="4" t="inlineStr">
        <is>
          <t>B2C direct</t>
        </is>
      </c>
      <c r="D3" s="4" t="inlineStr">
        <is>
          <t>Note</t>
        </is>
      </c>
    </row>
    <row r="4">
      <c r="A4" s="6" t="inlineStr">
        <is>
          <t>Revenue per student per year (Rs)</t>
        </is>
      </c>
      <c r="B4" s="14">
        <f>Assumptions!$C$27*12</f>
        <v/>
      </c>
      <c r="C4" s="14">
        <f>Assumptions!$C$29</f>
        <v/>
      </c>
      <c r="D4" s="9" t="inlineStr">
        <is>
          <t>Institute figure excludes the platform fee</t>
        </is>
      </c>
    </row>
    <row r="5">
      <c r="A5" s="6" t="inlineStr">
        <is>
          <t>AI + infra cost per student per year (Rs)</t>
        </is>
      </c>
      <c r="B5" s="14">
        <f>Assumptions!$C$42*12</f>
        <v/>
      </c>
      <c r="C5" s="14">
        <f>Assumptions!$C$42*12</f>
        <v/>
      </c>
      <c r="D5" s="9" t="inlineStr"/>
    </row>
    <row r="6">
      <c r="A6" s="6" t="inlineStr">
        <is>
          <t>Gross profit per student per year (Rs)</t>
        </is>
      </c>
      <c r="B6" s="14">
        <f>B4-B5</f>
        <v/>
      </c>
      <c r="C6" s="14">
        <f>C4-C5</f>
        <v/>
      </c>
      <c r="D6" s="9" t="inlineStr"/>
    </row>
    <row r="7">
      <c r="A7" s="17" t="inlineStr">
        <is>
          <t>Gross margin</t>
        </is>
      </c>
      <c r="B7" s="13">
        <f>B6/B4</f>
        <v/>
      </c>
      <c r="C7" s="13">
        <f>C6/C4</f>
        <v/>
      </c>
      <c r="D7" s="9" t="inlineStr"/>
    </row>
    <row r="9">
      <c r="A9" s="6" t="inlineStr">
        <is>
          <t>CAC per student (Rs)</t>
        </is>
      </c>
      <c r="B9" s="14">
        <f>Assumptions!$C$43</f>
        <v/>
      </c>
      <c r="C9" s="14">
        <f>Assumptions!$C$44</f>
        <v/>
      </c>
      <c r="D9" s="9" t="inlineStr">
        <is>
          <t>Marketing/sales spend only — excludes founder and salaried sales time, which flatters the institute column</t>
        </is>
      </c>
    </row>
    <row r="10">
      <c r="A10" s="17" t="inlineStr">
        <is>
          <t>Payback period (months)</t>
        </is>
      </c>
      <c r="B10" s="20">
        <f>B9/(B6/12)</f>
        <v/>
      </c>
      <c r="C10" s="20">
        <f>C9/(C6/12)</f>
        <v/>
      </c>
      <c r="D10" s="9" t="inlineStr">
        <is>
          <t>CAC / monthly gross profit</t>
        </is>
      </c>
    </row>
    <row r="12">
      <c r="A12" s="6" t="inlineStr">
        <is>
          <t>Annual retention</t>
        </is>
      </c>
      <c r="B12" s="16">
        <f>Assumptions!$C$45</f>
        <v/>
      </c>
      <c r="C12" s="16">
        <f>Assumptions!$C$46</f>
        <v/>
      </c>
      <c r="D12" s="9" t="inlineStr"/>
    </row>
    <row r="13">
      <c r="A13" s="6" t="inlineStr">
        <is>
          <t>Avg customer lifetime (years)</t>
        </is>
      </c>
      <c r="B13" s="21">
        <f>1/(1-B12)</f>
        <v/>
      </c>
      <c r="C13" s="21">
        <f>1/(1-C12)</f>
        <v/>
      </c>
      <c r="D13" s="9" t="inlineStr"/>
    </row>
    <row r="14">
      <c r="A14" s="17" t="inlineStr">
        <is>
          <t>LTV (Rs)</t>
        </is>
      </c>
      <c r="B14" s="18">
        <f>B6*B13</f>
        <v/>
      </c>
      <c r="C14" s="18">
        <f>C6*C13</f>
        <v/>
      </c>
      <c r="D14" s="9" t="inlineStr">
        <is>
          <t>Gross profit x lifetime</t>
        </is>
      </c>
    </row>
    <row r="15">
      <c r="A15" s="17" t="inlineStr">
        <is>
          <t>LTV : CAC ratio</t>
        </is>
      </c>
      <c r="B15" s="20">
        <f>B14/B9</f>
        <v/>
      </c>
      <c r="C15" s="20">
        <f>C14/C9</f>
        <v/>
      </c>
      <c r="D15" s="9" t="inlineStr">
        <is>
          <t>Above 3.0 is healthy</t>
        </is>
      </c>
    </row>
    <row r="17">
      <c r="A17" s="22" t="inlineStr">
        <is>
          <t>Read the Payback and LTV:CAC rows together — they are the whole argument for selling to institutes before selling to parents.</t>
        </is>
      </c>
    </row>
    <row r="18">
      <c r="A18" s="22" t="inlineStr">
        <is>
          <t>The institute LTV:CAC looks very high because CAC here counts marketing spend only. Add a salesperson's salary and it lands nearer 4-6 — still comfortably ahead of the B2C column, which is the point.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What Pune alone maxes out at</t>
        </is>
      </c>
    </row>
    <row r="3" ht="28" customHeight="1">
      <c r="A3" s="4" t="inlineStr">
        <is>
          <t>Scenario</t>
        </is>
      </c>
      <c r="B3" s="4" t="inlineStr">
        <is>
          <t>Share of Pune SAM</t>
        </is>
      </c>
      <c r="C3" s="4" t="inlineStr">
        <is>
          <t>Paying students</t>
        </is>
      </c>
      <c r="D3" s="4" t="inlineStr">
        <is>
          <t>ARR (Rs crore)</t>
        </is>
      </c>
    </row>
    <row r="4">
      <c r="A4" s="6" t="inlineStr">
        <is>
          <t>Blended revenue per student per year (Rs)</t>
        </is>
      </c>
      <c r="B4" s="14">
        <f>Assumptions!$C$27*12*0.75+Assumptions!$C$29*0.25</f>
        <v/>
      </c>
      <c r="C4" s="15" t="inlineStr">
        <is>
          <t>75% institute-priced, 25% B2C-priced</t>
        </is>
      </c>
      <c r="D4" s="23" t="n"/>
    </row>
    <row r="6">
      <c r="A6" s="6" t="inlineStr">
        <is>
          <t>Base — modest outcome</t>
        </is>
      </c>
      <c r="B6" s="10" t="n">
        <v>0.05</v>
      </c>
      <c r="C6" s="24">
        <f>'Market Funnel'!$B$20*B6</f>
        <v/>
      </c>
      <c r="D6" s="25">
        <f>C6*$B$4/10000000</f>
        <v/>
      </c>
    </row>
    <row r="7">
      <c r="A7" s="6" t="inlineStr">
        <is>
          <t>Good outcome</t>
        </is>
      </c>
      <c r="B7" s="10" t="n">
        <v>0.1</v>
      </c>
      <c r="C7" s="24">
        <f>'Market Funnel'!$B$20*B7</f>
        <v/>
      </c>
      <c r="D7" s="25">
        <f>C7*$B$4/10000000</f>
        <v/>
      </c>
    </row>
    <row r="8">
      <c r="A8" s="6" t="inlineStr">
        <is>
          <t>Strong outcome</t>
        </is>
      </c>
      <c r="B8" s="10" t="n">
        <v>0.18</v>
      </c>
      <c r="C8" s="24">
        <f>'Market Funnel'!$B$20*B8</f>
        <v/>
      </c>
      <c r="D8" s="25">
        <f>C8*$B$4/10000000</f>
        <v/>
      </c>
    </row>
    <row r="9">
      <c r="A9" s="6" t="inlineStr">
        <is>
          <t>Dominant — near-ceiling</t>
        </is>
      </c>
      <c r="B9" s="10" t="n">
        <v>0.25</v>
      </c>
      <c r="C9" s="24">
        <f>'Market Funnel'!$B$20*B9</f>
        <v/>
      </c>
      <c r="D9" s="25">
        <f>C9*$B$4/10000000</f>
        <v/>
      </c>
    </row>
    <row r="12">
      <c r="A12" s="3" t="inlineStr">
        <is>
          <t>THE POINT OF THIS SHEET</t>
        </is>
      </c>
    </row>
    <row r="13">
      <c r="A13" s="26" t="inlineStr">
        <is>
          <t>Even a dominant position in Pune caps the business at a few crore of ARR.</t>
        </is>
      </c>
    </row>
    <row r="14">
      <c r="A14" s="26" t="inlineStr">
        <is>
          <t>Pune is the right beachhead and the wrong final market.</t>
        </is>
      </c>
    </row>
    <row r="15">
      <c r="A15" s="26" t="inlineStr"/>
    </row>
    <row r="16">
      <c r="A16" s="26" t="inlineStr">
        <is>
          <t>Maharashtra SSC and HSC each draw roughly 14-16 lakh candidates per year statewide,</t>
        </is>
      </c>
    </row>
    <row r="17">
      <c r="A17" s="26" t="inlineStr">
        <is>
          <t>against roughly 1.4 lakh SSC students in Grades 9-10 in all of Pune.</t>
        </is>
      </c>
    </row>
    <row r="18">
      <c r="A18" s="26" t="inlineStr">
        <is>
          <t>Statewide is on the order of 20x the Pune opportunity — on identical content.</t>
        </is>
      </c>
    </row>
    <row r="19">
      <c r="A19" s="26" t="inlineStr"/>
    </row>
    <row r="20">
      <c r="A20" s="26" t="inlineStr">
        <is>
          <t>That is the strongest argument for the SSC-first strategy: the content built for Pune</t>
        </is>
      </c>
    </row>
    <row r="21">
      <c r="A21" s="26" t="inlineStr">
        <is>
          <t>is the same content that unlocks a market twenty times larger, with no rebuild.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62" customWidth="1" min="3" max="3"/>
    <col width="12" customWidth="1" min="4" max="4"/>
  </cols>
  <sheetData>
    <row r="1" ht="30" customHeight="1">
      <c r="A1" s="1" t="inlineStr">
        <is>
          <t>Where to get the real numbers</t>
        </is>
      </c>
    </row>
    <row r="3" ht="28" customHeight="1">
      <c r="A3" s="4" t="inlineStr">
        <is>
          <t>Input to replace</t>
        </is>
      </c>
      <c r="B3" s="4" t="inlineStr">
        <is>
          <t>Source</t>
        </is>
      </c>
      <c r="C3" s="4" t="inlineStr">
        <is>
          <t>How</t>
        </is>
      </c>
      <c r="D3" s="4" t="inlineStr">
        <is>
          <t>Cost</t>
        </is>
      </c>
    </row>
    <row r="4" ht="42" customHeight="1">
      <c r="A4" s="27" t="inlineStr">
        <is>
          <t>Students per grade, per board, Pune</t>
        </is>
      </c>
      <c r="B4" s="28" t="inlineStr">
        <is>
          <t>UDISE+ (udiseplus.gov.in)</t>
        </is>
      </c>
      <c r="C4" s="28" t="inlineStr">
        <is>
          <t>School-level enrolment, filterable to Pune district by board and grade. The single best source. Start here.</t>
        </is>
      </c>
      <c r="D4" s="28" t="inlineStr">
        <is>
          <t>Free</t>
        </is>
      </c>
    </row>
    <row r="5" ht="42" customHeight="1">
      <c r="A5" s="27" t="inlineStr">
        <is>
          <t>Pune urban population, current</t>
        </is>
      </c>
      <c r="B5" s="28" t="inlineStr">
        <is>
          <t>Census 2011 + PMRDA / PMC projections</t>
        </is>
      </c>
      <c r="C5" s="28" t="inlineStr">
        <is>
          <t>Use the 2011 UA figure as the base and the corporation's own growth projection.</t>
        </is>
      </c>
      <c r="D5" s="28" t="inlineStr">
        <is>
          <t>Free</t>
        </is>
      </c>
    </row>
    <row r="6" ht="42" customHeight="1">
      <c r="A6" s="27" t="inlineStr">
        <is>
          <t>SSC / HSC candidate counts</t>
        </is>
      </c>
      <c r="B6" s="28" t="inlineStr">
        <is>
          <t>MSBSHSE (mahahsscboard.in)</t>
        </is>
      </c>
      <c r="C6" s="28" t="inlineStr">
        <is>
          <t>Annual result press releases give exact appeared-candidate counts, district-wise.</t>
        </is>
      </c>
      <c r="D6" s="28" t="inlineStr">
        <is>
          <t>Free</t>
        </is>
      </c>
    </row>
    <row r="7" ht="42" customHeight="1">
      <c r="A7" s="27" t="inlineStr">
        <is>
          <t>CBSE school count in Pune</t>
        </is>
      </c>
      <c r="B7" s="28" t="inlineStr">
        <is>
          <t>CBSE affiliated-school directory</t>
        </is>
      </c>
      <c r="C7" s="28" t="inlineStr">
        <is>
          <t>Filter the official list by district; multiply by average enrolment.</t>
        </is>
      </c>
      <c r="D7" s="28" t="inlineStr">
        <is>
          <t>Free</t>
        </is>
      </c>
    </row>
    <row r="8" ht="42" customHeight="1">
      <c r="A8" s="27" t="inlineStr">
        <is>
          <t>ICSE / ISC school count</t>
        </is>
      </c>
      <c r="B8" s="28" t="inlineStr">
        <is>
          <t>CISCE school locator</t>
        </is>
      </c>
      <c r="C8" s="28" t="inlineStr">
        <is>
          <t>Same approach as CBSE.</t>
        </is>
      </c>
      <c r="D8" s="28" t="inlineStr">
        <is>
          <t>Free</t>
        </is>
      </c>
    </row>
    <row r="9" ht="42" customHeight="1">
      <c r="A9" s="27" t="inlineStr">
        <is>
          <t>Coaching class count in Pune</t>
        </is>
      </c>
      <c r="B9" s="28" t="inlineStr">
        <is>
          <t>GST directory + Google Maps</t>
        </is>
      </c>
      <c r="C9" s="28" t="inlineStr">
        <is>
          <t>Maharashtra shops-and-establishment registrations; cross-check with a Maps count per locality. Rough, but enough to size the channel.</t>
        </is>
      </c>
      <c r="D9" s="28" t="inlineStr">
        <is>
          <t>Free / low</t>
        </is>
      </c>
    </row>
    <row r="10" ht="42" customHeight="1">
      <c r="A10" s="27" t="inlineStr">
        <is>
          <t>Household spend on tuition</t>
        </is>
      </c>
      <c r="B10" s="28" t="inlineStr">
        <is>
          <t>NSSO Household Social Consumption: Education</t>
        </is>
      </c>
      <c r="C10" s="28" t="inlineStr">
        <is>
          <t>Gives urban Maharashtra spend per student on private coaching.</t>
        </is>
      </c>
      <c r="D10" s="28" t="inlineStr">
        <is>
          <t>Free</t>
        </is>
      </c>
    </row>
    <row r="11" ht="42" customHeight="1">
      <c r="A11" s="27" t="inlineStr">
        <is>
          <t>Willingness to pay for digital</t>
        </is>
      </c>
      <c r="B11" s="28" t="inlineStr">
        <is>
          <t>Your own landing-page test</t>
        </is>
      </c>
      <c r="C11" s="28" t="inlineStr">
        <is>
          <t>A landing page plus about Rs 15,000 of targeted ads gives you the real conversion rate in a week. Cheaper and more honest than any survey.</t>
        </is>
      </c>
      <c r="D11" s="28" t="inlineStr">
        <is>
          <t>~Rs 15k</t>
        </is>
      </c>
    </row>
    <row r="12" ht="42" customHeight="1">
      <c r="A12" s="27" t="inlineStr">
        <is>
          <t>Institute price acceptance</t>
        </is>
      </c>
      <c r="B12" s="28" t="inlineStr">
        <is>
          <t>15 coaching class visits</t>
        </is>
      </c>
      <c r="C12" s="28" t="inlineStr">
        <is>
          <t>Ask one question: would you pay Rs 90 per student per month for a test engine with weakness reports? Three yeses justifies the build.</t>
        </is>
      </c>
      <c r="D12" s="28" t="inlineStr">
        <is>
          <t>Free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2026-09-07T19:54:25Z</dcterms:created>
  <dcterms:modified xmlns:dcterms="http://purl.org/dc/terms/" xmlns:xsi="http://www.w3.org/2001/XMLSchema-instance" xsi:type="dcterms:W3CDTF">2026-09-07T19:54:25Z</dcterms:modified>
</cp:coreProperties>
</file>